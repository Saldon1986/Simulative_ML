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60" windowHeight="173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<sst xmlns="http://schemas.openxmlformats.org/spreadsheetml/2006/main" count="213" uniqueCount="115">
  <si>
    <t>Векторы:</t>
  </si>
  <si>
    <t>Длины векторов</t>
  </si>
  <si>
    <t>Текст 1: v1=[0.3, 0.1, 0.4, 0.2, 0.0]</t>
  </si>
  <si>
    <t xml:space="preserve"> v1</t>
  </si>
  <si>
    <t xml:space="preserve">cos t = </t>
  </si>
  <si>
    <t>Текст 2: v2=[0.1, 0.3, 0.4, 0.1, 0.2]</t>
  </si>
  <si>
    <t>v2</t>
  </si>
  <si>
    <t>t =</t>
  </si>
  <si>
    <t>1) Найдите скалярное произведение этих векторов.</t>
  </si>
  <si>
    <t>скалярное произведение</t>
  </si>
  <si>
    <t>2) Вычислите угол между векторами, чтобы оценить их сходство.</t>
  </si>
  <si>
    <t>v1</t>
  </si>
  <si>
    <t>3) Интерпретируйте результат: являются ли тексты схожими?</t>
  </si>
  <si>
    <t>Задача 2. Определение важности признаков (векторы градиентов)</t>
  </si>
  <si>
    <t>Представьте, что вы обучаете модель логистической регрессии. У вас есть два признака, и их градиенты на некотором этапе обучения представлены как векторы:</t>
  </si>
  <si>
    <t>Признак 1: g1=[0.5,−0.2,0.1]</t>
  </si>
  <si>
    <t>Признак 2: g2=[0.4,−0.3,0.2]</t>
  </si>
  <si>
    <t>1) Найдите угол между векторами</t>
  </si>
  <si>
    <t>g1</t>
  </si>
  <si>
    <t>2) Интерпретируйте результат: конкурируют ли признаки (градиенты направлены в противоположные стороны) или дополняют друг друга (угол острый)?</t>
  </si>
  <si>
    <t>g2</t>
  </si>
  <si>
    <t>Задача 3. Сходство пользователей в рекомендациях</t>
  </si>
  <si>
    <t>Товары пользователей представлены в виде векторов:</t>
  </si>
  <si>
    <t>Пользователь 1: u1=[3,0,2,0,5]</t>
  </si>
  <si>
    <t>Пользователь 2: u2=[1,2,1,0,3]</t>
  </si>
  <si>
    <t>1) Рассчитайте косинусное сходство между векторами пользователей (косинус между векторами).</t>
  </si>
  <si>
    <t>u1</t>
  </si>
  <si>
    <t>2) Что означает результат? Какую рекомендацию вы можете дать: следует ли предлагать похожие товары этим пользователям?</t>
  </si>
  <si>
    <t>u2</t>
  </si>
  <si>
    <t>Задача 4. Классификация на основе угла между векторами</t>
  </si>
  <si>
    <t>s/new</t>
  </si>
  <si>
    <t>Предположим, у вас есть две целевые категории (например, спам и не спам). Средние векторы этих категорий в пространстве признаков:</t>
  </si>
  <si>
    <t>Спам: s=[0.6,0.3,0.5]</t>
  </si>
  <si>
    <t>new</t>
  </si>
  <si>
    <t>Не спам: n=[0.2,0.7,0.3]</t>
  </si>
  <si>
    <t>s*new</t>
  </si>
  <si>
    <t>n/new</t>
  </si>
  <si>
    <t>n*new</t>
  </si>
  <si>
    <t>Новый объект представлен вектором x=[0.5,0.4,0.4]</t>
  </si>
  <si>
    <t>s</t>
  </si>
  <si>
    <t>1) Определите, к какой категории ближе объект.</t>
  </si>
  <si>
    <t>n</t>
  </si>
  <si>
    <t>2) Как результат влияет на классификацию?</t>
  </si>
  <si>
    <t>Задача 5. Нормализация и обработка данных (масштабирование признаков)</t>
  </si>
  <si>
    <t>Вы работаете с датасетом, где признаки представляют собой векторы: доход и возраст.</t>
  </si>
  <si>
    <t>длина</t>
  </si>
  <si>
    <t>p1=[200,50,150]</t>
  </si>
  <si>
    <t>p2=[25,18,32]</t>
  </si>
  <si>
    <t>p1</t>
  </si>
  <si>
    <t>p2</t>
  </si>
  <si>
    <t>1) Нормализуйте оба вектора (приведите их длину к 1).</t>
  </si>
  <si>
    <t>p1_n</t>
  </si>
  <si>
    <t>2) Найдите скалярное произведение нормализованных векторов.</t>
  </si>
  <si>
    <t>p2_n</t>
  </si>
  <si>
    <t>3) Интерпретируйте результат в контексте взаимосвязи признаков.</t>
  </si>
  <si>
    <t>scalar_n</t>
  </si>
  <si>
    <t>Задание 1</t>
  </si>
  <si>
    <t>a</t>
  </si>
  <si>
    <t>Даны два вектора в 3D-пространстве:</t>
  </si>
  <si>
    <t>b</t>
  </si>
  <si>
    <t>﻿a→=[3,−1,2]﻿</t>
  </si>
  <si>
    <t>﻿b→=[1,4,−2]﻿</t>
  </si>
  <si>
    <t>a X b</t>
  </si>
  <si>
    <t>=</t>
  </si>
  <si>
    <t>i</t>
  </si>
  <si>
    <t>j</t>
  </si>
  <si>
    <t>k</t>
  </si>
  <si>
    <t>-</t>
  </si>
  <si>
    <t>+</t>
  </si>
  <si>
    <r>
      <t xml:space="preserve">Вычислите векторное произведение </t>
    </r>
    <r>
      <rPr>
        <sz val="11.25"/>
        <color rgb="FF060D31"/>
        <rFont val="Calibri"/>
        <charset val="134"/>
        <scheme val="minor"/>
      </rPr>
      <t>﻿a→×b→﻿</t>
    </r>
  </si>
  <si>
    <t>Задание 2</t>
  </si>
  <si>
    <t>Даны два вектора:</t>
  </si>
  <si>
    <t>﻿a→=[4,1,−3]﻿</t>
  </si>
  <si>
    <t>﻿b→=[2,5,1]﻿</t>
  </si>
  <si>
    <r>
      <t xml:space="preserve">1) Найдите векторное произведение </t>
    </r>
    <r>
      <rPr>
        <sz val="11.25"/>
        <color rgb="FF060D31"/>
        <rFont val="Calibri"/>
        <charset val="134"/>
        <scheme val="minor"/>
      </rPr>
      <t>﻿a→×b→﻿</t>
    </r>
  </si>
  <si>
    <t>2) Проверьте, является ли векторное произведение перпендикулярным к обоим исходным векторам.</t>
  </si>
  <si>
    <t>a . c = 0?</t>
  </si>
  <si>
    <t>b . c = 0?</t>
  </si>
  <si>
    <t>Задание 3</t>
  </si>
  <si>
    <t>P1</t>
  </si>
  <si>
    <t>В задаче машинного обучения вам нужно вычислить "нормаль" поверхности, которая определяется двумя векторами, полученными из данных точек:</t>
  </si>
  <si>
    <t>P2</t>
  </si>
  <si>
    <t>﻿P1=(3,5,−1)﻿</t>
  </si>
  <si>
    <t>P3</t>
  </si>
  <si>
    <t>﻿P2=(4,2,6)﻿</t>
  </si>
  <si>
    <t>v1 (P1, P2)</t>
  </si>
  <si>
    <t>﻿P3=(1,−2,4)﻿</t>
  </si>
  <si>
    <t>v2 (P1, P3)</t>
  </si>
  <si>
    <t>Используя векторное произведение, найдите нормаль к плоскости, образованной этими тремя точками.</t>
  </si>
  <si>
    <t>v1 X v2</t>
  </si>
  <si>
    <t>Задание 4</t>
  </si>
  <si>
    <t>A</t>
  </si>
  <si>
    <t>Даны три точки в 3D-пространстве:</t>
  </si>
  <si>
    <t>B</t>
  </si>
  <si>
    <r>
      <t xml:space="preserve">Точка </t>
    </r>
    <r>
      <rPr>
        <sz val="11.25"/>
        <color rgb="FF060D31"/>
        <rFont val="Calibri"/>
        <charset val="134"/>
        <scheme val="minor"/>
      </rPr>
      <t>﻿A=(1,2,3)﻿</t>
    </r>
  </si>
  <si>
    <t>C</t>
  </si>
  <si>
    <r>
      <t xml:space="preserve">Точка </t>
    </r>
    <r>
      <rPr>
        <sz val="11.25"/>
        <color rgb="FF060D31"/>
        <rFont val="Calibri"/>
        <charset val="134"/>
        <scheme val="minor"/>
      </rPr>
      <t>﻿B=(−1,2,6)﻿</t>
    </r>
  </si>
  <si>
    <t>AB</t>
  </si>
  <si>
    <r>
      <t xml:space="preserve">Точка </t>
    </r>
    <r>
      <rPr>
        <sz val="11.25"/>
        <color rgb="FF060D31"/>
        <rFont val="Calibri"/>
        <charset val="134"/>
        <scheme val="minor"/>
      </rPr>
      <t>﻿C=(−2,3,1)﻿</t>
    </r>
  </si>
  <si>
    <t>BC</t>
  </si>
  <si>
    <t>Найдите площадь параллелограмма, который можно построить на векторах ﻿AB﻿ и ﻿BC﻿.</t>
  </si>
  <si>
    <t>S =</t>
  </si>
  <si>
    <t>Предположим, что у вас есть два признака данных, каждый из которых представлен вектором:</t>
  </si>
  <si>
    <t>﻿v1→=[2,3]﻿</t>
  </si>
  <si>
    <t>﻿v2→=[4,6]﻿</t>
  </si>
  <si>
    <t>v1 = v2 * k ?</t>
  </si>
  <si>
    <t>k=</t>
  </si>
  <si>
    <t>Проверьте, линейно ли независимы эти два вектора.</t>
  </si>
  <si>
    <t>Даны векторы ﻿(1,2,3),(2,4,6),(3,6,9)﻿. Проверьте их линейную зависимость.</t>
  </si>
  <si>
    <t>c</t>
  </si>
  <si>
    <t>Var 1 - det</t>
  </si>
  <si>
    <t>Var 2 - mesh product</t>
  </si>
  <si>
    <t>a . (b X c)</t>
  </si>
  <si>
    <t>b X c</t>
  </si>
  <si>
    <t>Даны векторы ﻿(2,3,−1),(4,6,−2),(0,2,1)﻿. Проверьте их линейную зависимость.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</si>
</sst>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23">
    <font>
      <sz val="11"/>
      <color theme="1"/>
      <name val="Calibri"/>
      <charset val="134"/>
      <scheme val="minor"/>
    </font>
    <font>
      <sz val="16.5"/>
      <color rgb="FF1A1A1A"/>
      <name val="Calibri"/>
      <charset val="134"/>
      <scheme val="minor"/>
    </font>
    <font>
      <sz val="11.25"/>
      <color rgb="FF1A1A1A"/>
      <name val="Calibri"/>
      <charset val="134"/>
      <scheme val="minor"/>
    </font>
    <font>
      <sz val="11.25"/>
      <color rgb="FF060D3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opLeftCell="A33" workbookViewId="0">
      <selection activeCell="C62" sqref="C62"/>
    </sheetView>
  </sheetViews>
  <sheetFormatPr defaultColWidth="9" defaultRowHeight="16.8"/>
  <cols>
    <col min="1" max="1" width="69.0078125" style="1" customWidth="1"/>
    <col min="3" max="3" width="12.6875"/>
    <col min="6" max="7" width="12.6875"/>
    <col min="10" max="10" width="12.6875"/>
  </cols>
  <sheetData>
    <row r="1" ht="17" spans="1:10">
      <c r="A1" s="3" t="s">
        <v>0</v>
      </c>
      <c r="E1" t="s">
        <v>1</v>
      </c>
    </row>
    <row r="2" ht="17" spans="1:10">
      <c r="A2" s="3" t="s">
        <v>2</v>
      </c>
      <c r="E2" t="s">
        <v>3</v>
      </c>
      <c r="F2">
        <f>SQRT(D8^2+E8^2+F8^2+G8^2+H8^2)</f>
        <v>0.547722557505166</v>
      </c>
      <c r="G2">
        <f>D8^2+E8^2+F8^2+G8^2+H8^2</f>
        <v>0.3</v>
      </c>
      <c r="I2" t="s">
        <v>4</v>
      </c>
      <c r="J2">
        <f>G5/(F2*F3)</f>
        <v>0.786991002940744</v>
      </c>
    </row>
    <row r="3" ht="17" spans="1:10">
      <c r="A3" s="3" t="s">
        <v>5</v>
      </c>
      <c r="E3" t="s">
        <v>6</v>
      </c>
      <c r="F3">
        <f>SQRT(D9^2+E9^2+F9^2+G9^2+H9^2)</f>
        <v>0.556776436283002</v>
      </c>
      <c r="G3">
        <f>D9^2+E9^2+F9^2+G9^2+H9^2</f>
        <v>0.31</v>
      </c>
      <c r="I3" t="s">
        <v>7</v>
      </c>
      <c r="J3">
        <f>DEGREES(ACOS(J2))</f>
        <v>38.09480150252</v>
      </c>
    </row>
    <row r="5" ht="17" spans="1:10">
      <c r="A5" s="3" t="s">
        <v>8</v>
      </c>
      <c r="E5" t="s">
        <v>9</v>
      </c>
      <c r="G5" cm="1">
        <f t="array" ref="G5">SUMPRODUCT(D8:H8,D9:H9)</f>
        <v>0.24</v>
      </c>
    </row>
    <row r="7" ht="17" spans="1:10">
      <c r="A7" s="3" t="s">
        <v>10</v>
      </c>
    </row>
    <row r="8" spans="1:10">
      <c r="C8" t="s">
        <v>11</v>
      </c>
      <c r="D8">
        <v>0.3</v>
      </c>
      <c r="E8">
        <v>0.1</v>
      </c>
      <c r="F8">
        <v>0.4</v>
      </c>
      <c r="G8">
        <v>0.2</v>
      </c>
      <c r="H8">
        <v>0</v>
      </c>
    </row>
    <row r="9" ht="17" spans="1:10">
      <c r="A9" s="3" t="s">
        <v>12</v>
      </c>
      <c r="C9" t="s">
        <v>6</v>
      </c>
      <c r="D9">
        <v>0.1</v>
      </c>
      <c r="E9">
        <v>0.3</v>
      </c>
      <c r="F9">
        <v>0.4</v>
      </c>
      <c r="G9">
        <v>0.1</v>
      </c>
      <c r="H9" s="6">
        <v>0.2</v>
      </c>
    </row>
    <row r="12" ht="48" spans="1:10">
      <c r="A12" s="2" t="s">
        <v>13</v>
      </c>
      <c r="E12" t="s">
        <v>1</v>
      </c>
    </row>
    <row r="13" spans="1:10">
      <c r="E13" t="str">
        <f>C19</f>
        <v>g1</v>
      </c>
      <c r="F13">
        <f>SQRT(D19^2+E19^2+F19^2)</f>
        <v>0.547722557505166</v>
      </c>
      <c r="G13">
        <f>D19^2+E19^2+F19^2+G19^2+H19^2</f>
        <v>0.3</v>
      </c>
      <c r="I13" t="s">
        <v>4</v>
      </c>
      <c r="J13">
        <f>G16/(F13*F14)</f>
        <v>0.949288905069134</v>
      </c>
    </row>
    <row r="14" ht="51" spans="1:10">
      <c r="A14" s="3" t="s">
        <v>14</v>
      </c>
      <c r="E14" t="str">
        <f>C20</f>
        <v>g2</v>
      </c>
      <c r="F14">
        <f>SQRT(D20^2+E20^2+F20^2)</f>
        <v>0.53851648071345</v>
      </c>
      <c r="G14">
        <f>D20^2+E20^2+F20^2+G20^2+H20^2</f>
        <v>0.29</v>
      </c>
      <c r="I14" t="s">
        <v>7</v>
      </c>
      <c r="J14">
        <f>DEGREES(ACOS(J13))</f>
        <v>18.3249047172919</v>
      </c>
    </row>
    <row r="15" ht="17" spans="1:10">
      <c r="A15" s="3" t="s">
        <v>15</v>
      </c>
    </row>
    <row r="16" ht="17" spans="1:10">
      <c r="A16" s="3" t="s">
        <v>16</v>
      </c>
      <c r="E16" t="s">
        <v>9</v>
      </c>
      <c r="G16" cm="1">
        <f t="array" ref="G16">SUMPRODUCT(D19:F19,D20:F20)</f>
        <v>0.28</v>
      </c>
    </row>
    <row r="18" ht="17" spans="1:10">
      <c r="A18" s="3" t="s">
        <v>17</v>
      </c>
    </row>
    <row r="19" spans="1:10">
      <c r="C19" t="s">
        <v>18</v>
      </c>
      <c r="D19">
        <v>0.5</v>
      </c>
      <c r="E19">
        <v>-0.2</v>
      </c>
      <c r="F19">
        <v>0.1</v>
      </c>
    </row>
    <row r="20" ht="34" spans="1:10">
      <c r="A20" s="3" t="s">
        <v>19</v>
      </c>
      <c r="C20" t="s">
        <v>20</v>
      </c>
      <c r="D20">
        <v>0.4</v>
      </c>
      <c r="E20">
        <v>-0.3</v>
      </c>
      <c r="F20">
        <v>0.2</v>
      </c>
      <c r="G20"/>
      <c r="H20" s="6"/>
    </row>
    <row r="24" ht="24.35" spans="1:10">
      <c r="A24" s="7" t="s">
        <v>21</v>
      </c>
      <c r="E24" t="s">
        <v>1</v>
      </c>
    </row>
    <row r="25" spans="1:10">
      <c r="A25"/>
      <c r="E25" t="str">
        <f>C31</f>
        <v>u1</v>
      </c>
      <c r="F25">
        <f>SQRT(D31^2+E31^2+F31^2+G31^2+H31^2)</f>
        <v>6.16441400296898</v>
      </c>
      <c r="G25">
        <f>D31^2+E31^2+F31^2+G31^2+H31^2</f>
        <v>38</v>
      </c>
      <c r="I25" t="s">
        <v>4</v>
      </c>
      <c r="J25">
        <f>G28/(F25*F26)</f>
        <v>0.837707816583391</v>
      </c>
    </row>
    <row r="26" spans="1:10">
      <c r="A26" s="8" t="s">
        <v>22</v>
      </c>
      <c r="E26" t="str">
        <f>C32</f>
        <v>u2</v>
      </c>
      <c r="F26">
        <f>SQRT(D32^2+E32^2+F32^2+G32^2+H32^2)</f>
        <v>3.87298334620742</v>
      </c>
      <c r="G26">
        <f>D32^2+E32^2+F32^2+G32^2+H32^2</f>
        <v>15</v>
      </c>
      <c r="I26" t="s">
        <v>7</v>
      </c>
      <c r="J26">
        <f>DEGREES(ACOS(J25))</f>
        <v>33.1011435896653</v>
      </c>
    </row>
    <row r="27" spans="1:10">
      <c r="A27" s="8" t="s">
        <v>23</v>
      </c>
    </row>
    <row r="28" spans="1:10">
      <c r="A28" s="8" t="s">
        <v>24</v>
      </c>
      <c r="E28" t="s">
        <v>9</v>
      </c>
      <c r="G28" cm="1">
        <f t="array" ref="G28">SUMPRODUCT(D31:H31,D32:H32)</f>
        <v>20</v>
      </c>
    </row>
    <row r="29" spans="1:10">
      <c r="A29"/>
    </row>
    <row r="30" spans="1:10">
      <c r="A30" s="8" t="s">
        <v>25</v>
      </c>
    </row>
    <row r="31" spans="1:10">
      <c r="A31"/>
      <c r="C31" t="s">
        <v>26</v>
      </c>
      <c r="D31">
        <v>3</v>
      </c>
      <c r="E31">
        <v>0</v>
      </c>
      <c r="F31">
        <v>2</v>
      </c>
      <c r="G31">
        <v>0</v>
      </c>
      <c r="H31">
        <v>5</v>
      </c>
    </row>
    <row r="32" spans="1:10">
      <c r="A32" s="8" t="s">
        <v>27</v>
      </c>
      <c r="C32" t="s">
        <v>28</v>
      </c>
      <c r="D32">
        <v>1</v>
      </c>
      <c r="E32">
        <v>2</v>
      </c>
      <c r="F32">
        <v>1</v>
      </c>
      <c r="G32">
        <v>0</v>
      </c>
      <c r="H32" s="6">
        <v>3</v>
      </c>
    </row>
    <row r="33" spans="1:10">
      <c r="D33">
        <f t="shared" ref="D33:H33" si="0">D31*D32</f>
        <v>3</v>
      </c>
      <c r="E33">
        <f t="shared" si="0"/>
        <v>0</v>
      </c>
      <c r="F33">
        <f t="shared" si="0"/>
        <v>2</v>
      </c>
      <c r="G33">
        <f t="shared" si="0"/>
        <v>0</v>
      </c>
      <c r="H33">
        <f t="shared" si="0"/>
        <v>15</v>
      </c>
    </row>
    <row r="36" ht="24.35" spans="1:10">
      <c r="A36" s="7" t="s">
        <v>29</v>
      </c>
      <c r="E36" t="s">
        <v>1</v>
      </c>
      <c r="I36" t="s">
        <v>30</v>
      </c>
    </row>
    <row r="37" spans="1:10">
      <c r="A37"/>
      <c r="E37" t="str">
        <f>C43</f>
        <v>s</v>
      </c>
      <c r="F37">
        <f t="shared" ref="F37:F39" si="1">SQRT(D43^2+E43^2+F43^2)</f>
        <v>0.836660026534076</v>
      </c>
      <c r="G37">
        <f t="shared" ref="G37:G39" si="2">D43^2+E43^2+F43^2</f>
        <v>0.7</v>
      </c>
      <c r="I37" t="s">
        <v>4</v>
      </c>
      <c r="J37">
        <f>G40/(F37*F39)</f>
        <v>0.98153375963502</v>
      </c>
    </row>
    <row r="38" spans="1:10">
      <c r="A38" s="8" t="s">
        <v>31</v>
      </c>
      <c r="E38" t="str">
        <f>C44</f>
        <v>n</v>
      </c>
      <c r="F38">
        <f t="shared" si="1"/>
        <v>0.787400787401181</v>
      </c>
      <c r="G38">
        <f t="shared" si="2"/>
        <v>0.62</v>
      </c>
      <c r="I38" t="s">
        <v>7</v>
      </c>
      <c r="J38">
        <f>DEGREES(ACOS(J37))</f>
        <v>11.0280178919126</v>
      </c>
    </row>
    <row r="39" spans="1:10">
      <c r="A39" s="8" t="s">
        <v>32</v>
      </c>
      <c r="E39" t="s">
        <v>33</v>
      </c>
      <c r="F39">
        <f t="shared" si="1"/>
        <v>0.754983443527075</v>
      </c>
      <c r="G39">
        <f t="shared" si="2"/>
        <v>0.57</v>
      </c>
    </row>
    <row r="40" spans="1:10">
      <c r="A40" s="8" t="s">
        <v>34</v>
      </c>
      <c r="C40" t="s">
        <v>9</v>
      </c>
      <c r="E40" t="s">
        <v>35</v>
      </c>
      <c r="G40" cm="1">
        <f t="array" ref="G40">SUMPRODUCT(D43:F43,D45:F45)</f>
        <v>0.62</v>
      </c>
      <c r="I40" t="s">
        <v>36</v>
      </c>
    </row>
    <row r="41" spans="1:10">
      <c r="A41"/>
      <c r="E41" t="s">
        <v>37</v>
      </c>
      <c r="G41" cm="1">
        <f t="array" ref="G41">SUMPRODUCT(D44:F44,D45:F45)</f>
        <v>0.5</v>
      </c>
      <c r="I41" t="s">
        <v>4</v>
      </c>
      <c r="J41">
        <f>G41/(F38*F39)</f>
        <v>0.841078887815611</v>
      </c>
    </row>
    <row r="42" spans="1:10">
      <c r="A42" s="8" t="s">
        <v>38</v>
      </c>
      <c r="I42" t="s">
        <v>7</v>
      </c>
      <c r="J42">
        <f>DEGREES(ACOS(J41))</f>
        <v>32.745776526018</v>
      </c>
    </row>
    <row r="43" spans="1:10">
      <c r="A43"/>
      <c r="C43" t="s">
        <v>39</v>
      </c>
      <c r="D43">
        <v>0.6</v>
      </c>
      <c r="E43">
        <v>0.3</v>
      </c>
      <c r="F43">
        <v>0.5</v>
      </c>
    </row>
    <row r="44" spans="1:10">
      <c r="A44" s="8" t="s">
        <v>40</v>
      </c>
      <c r="C44" t="s">
        <v>41</v>
      </c>
      <c r="D44">
        <v>0.2</v>
      </c>
      <c r="E44">
        <v>0.7</v>
      </c>
      <c r="F44">
        <v>0.3</v>
      </c>
    </row>
    <row r="45" spans="1:10">
      <c r="A45"/>
      <c r="C45" t="s">
        <v>33</v>
      </c>
      <c r="D45">
        <v>0.5</v>
      </c>
      <c r="E45">
        <v>0.4</v>
      </c>
      <c r="F45">
        <v>0.4</v>
      </c>
    </row>
    <row r="46" spans="1:10">
      <c r="A46" s="8" t="s">
        <v>42</v>
      </c>
      <c r="D46">
        <f>D43*D44</f>
        <v>0.12</v>
      </c>
      <c r="E46">
        <f>E43*E44</f>
        <v>0.21</v>
      </c>
      <c r="F46">
        <f>F43*F44</f>
        <v>0.15</v>
      </c>
    </row>
    <row r="49" ht="24.35" spans="1:7">
      <c r="A49" s="7" t="s">
        <v>43</v>
      </c>
    </row>
    <row r="50" spans="1:7">
      <c r="A50"/>
    </row>
    <row r="51" spans="1:7">
      <c r="A51" s="8" t="s">
        <v>44</v>
      </c>
      <c r="G51" t="s">
        <v>45</v>
      </c>
    </row>
    <row r="52" spans="1:7">
      <c r="A52" s="8" t="s">
        <v>46</v>
      </c>
    </row>
    <row r="53" spans="1:7">
      <c r="A53" s="8" t="s">
        <v>47</v>
      </c>
      <c r="B53" t="s">
        <v>48</v>
      </c>
      <c r="C53">
        <v>200</v>
      </c>
      <c r="D53">
        <v>50</v>
      </c>
      <c r="E53">
        <v>150</v>
      </c>
      <c r="G53">
        <f t="shared" ref="G53:G57" si="3">SQRT(C53^2+D53^2+E53^2)</f>
        <v>254.950975679639</v>
      </c>
    </row>
    <row r="54" spans="1:7">
      <c r="A54"/>
      <c r="B54" t="s">
        <v>49</v>
      </c>
      <c r="C54">
        <v>25</v>
      </c>
      <c r="D54">
        <v>18</v>
      </c>
      <c r="E54">
        <v>32</v>
      </c>
      <c r="G54">
        <f t="shared" si="3"/>
        <v>44.4184646290256</v>
      </c>
    </row>
    <row r="55" spans="1:7">
      <c r="A55" s="8" t="s">
        <v>50</v>
      </c>
    </row>
    <row r="56" spans="1:7">
      <c r="A56"/>
      <c r="B56" t="s">
        <v>51</v>
      </c>
      <c r="C56">
        <f>C53/$G53</f>
        <v>0.784464540552736</v>
      </c>
      <c r="D56">
        <f>D53/$G53</f>
        <v>0.196116135138184</v>
      </c>
      <c r="E56">
        <f>E53/$G53</f>
        <v>0.588348405414552</v>
      </c>
    </row>
    <row r="57" spans="1:7">
      <c r="A57" s="8" t="s">
        <v>52</v>
      </c>
      <c r="B57" t="s">
        <v>53</v>
      </c>
      <c r="C57">
        <f>C54/$G54</f>
        <v>0.562828999354101</v>
      </c>
      <c r="D57">
        <f>D54/$G54</f>
        <v>0.405236879534952</v>
      </c>
      <c r="E57">
        <f>E54/$G54</f>
        <v>0.720421119173249</v>
      </c>
    </row>
    <row r="58" spans="1:7">
      <c r="A58"/>
    </row>
    <row r="59" spans="1:7">
      <c r="A59" s="8" t="s">
        <v>54</v>
      </c>
      <c r="B59" t="s">
        <v>55</v>
      </c>
      <c r="C59" cm="1">
        <f t="array" ref="C59">SUMPRODUCT(C56:E56,C57:E57)</f>
        <v>0.944851499710471</v>
      </c>
    </row>
    <row r="61" spans="1:7">
      <c r="B61" t="s">
        <v>4</v>
      </c>
      <c r="C61">
        <f>C59</f>
        <v>0.944851499710471</v>
      </c>
    </row>
    <row r="62" spans="1:7">
      <c r="B62" t="s">
        <v>7</v>
      </c>
      <c r="C62">
        <f>DEGREES(ACOS(C61))</f>
        <v>19.1170495718834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"/>
  <sheetViews>
    <sheetView topLeftCell="A20" workbookViewId="0">
      <selection activeCell="E29" sqref="E29:Q31"/>
    </sheetView>
  </sheetViews>
  <sheetFormatPr defaultColWidth="9" defaultRowHeight="16.8"/>
  <cols>
    <col min="1" max="1" width="43.1015625" style="1" customWidth="1"/>
    <col min="5" max="5" width="12.6875"/>
  </cols>
  <sheetData>
    <row r="1" ht="24.75" spans="1:17">
      <c r="A1" s="2" t="s">
        <v>56</v>
      </c>
    </row>
    <row r="2" spans="1:17">
      <c r="C2" t="s">
        <v>57</v>
      </c>
      <c r="E2">
        <v>3</v>
      </c>
      <c r="F2">
        <v>-1</v>
      </c>
      <c r="G2">
        <v>2</v>
      </c>
    </row>
    <row r="3" ht="17" spans="1:17">
      <c r="A3" s="3" t="s">
        <v>58</v>
      </c>
      <c r="C3" t="s">
        <v>59</v>
      </c>
      <c r="E3">
        <v>1</v>
      </c>
      <c r="F3">
        <v>4</v>
      </c>
      <c r="G3">
        <v>-2</v>
      </c>
    </row>
    <row r="4" ht="17" spans="1:17">
      <c r="A4" s="4" t="s">
        <v>60</v>
      </c>
    </row>
    <row r="5" ht="17" spans="1:17">
      <c r="A5" s="4" t="s">
        <v>61</v>
      </c>
      <c r="C5" t="s">
        <v>62</v>
      </c>
      <c r="D5" s="9" t="s">
        <v>63</v>
      </c>
      <c r="E5" t="s">
        <v>64</v>
      </c>
      <c r="F5" t="s">
        <v>65</v>
      </c>
      <c r="G5" t="s">
        <v>66</v>
      </c>
      <c r="H5" s="9" t="s">
        <v>63</v>
      </c>
      <c r="I5" t="s">
        <v>64</v>
      </c>
      <c r="J5" s="9" t="s">
        <v>67</v>
      </c>
      <c r="K5" t="s">
        <v>65</v>
      </c>
      <c r="L5" s="9" t="s">
        <v>68</v>
      </c>
      <c r="M5" t="s">
        <v>66</v>
      </c>
      <c r="N5" s="9" t="s">
        <v>63</v>
      </c>
      <c r="O5">
        <f>I6</f>
        <v>-6</v>
      </c>
      <c r="P5">
        <f>-K6</f>
        <v>8</v>
      </c>
      <c r="Q5">
        <f>M6</f>
        <v>13</v>
      </c>
    </row>
    <row r="6" spans="1:17">
      <c r="E6">
        <f t="shared" ref="E6:G6" si="0">E2</f>
        <v>3</v>
      </c>
      <c r="F6">
        <f t="shared" si="0"/>
        <v>-1</v>
      </c>
      <c r="G6">
        <f t="shared" si="0"/>
        <v>2</v>
      </c>
      <c r="I6">
        <f>F6*G7-F7*G6</f>
        <v>-6</v>
      </c>
      <c r="K6">
        <f>E6*G7-E7*G6</f>
        <v>-8</v>
      </c>
      <c r="M6">
        <f>E6*F7-E7*F6</f>
        <v>13</v>
      </c>
    </row>
    <row r="7" ht="17" spans="1:17">
      <c r="A7" s="3" t="s">
        <v>69</v>
      </c>
      <c r="E7">
        <f t="shared" ref="E7:G7" si="1">E3</f>
        <v>1</v>
      </c>
      <c r="F7">
        <f t="shared" si="1"/>
        <v>4</v>
      </c>
      <c r="G7">
        <f t="shared" si="1"/>
        <v>-2</v>
      </c>
    </row>
    <row r="10" ht="24.75" spans="1:17">
      <c r="A10" s="2" t="s">
        <v>70</v>
      </c>
    </row>
    <row r="11" spans="1:17">
      <c r="C11" t="s">
        <v>57</v>
      </c>
      <c r="E11">
        <v>4</v>
      </c>
      <c r="F11">
        <v>1</v>
      </c>
      <c r="G11">
        <v>-3</v>
      </c>
    </row>
    <row r="12" ht="17" spans="1:17">
      <c r="A12" s="3" t="s">
        <v>71</v>
      </c>
      <c r="C12" t="s">
        <v>59</v>
      </c>
      <c r="E12">
        <v>2</v>
      </c>
      <c r="F12">
        <v>5</v>
      </c>
      <c r="G12">
        <v>1</v>
      </c>
    </row>
    <row r="13" ht="17" spans="1:17">
      <c r="A13" s="4" t="s">
        <v>72</v>
      </c>
    </row>
    <row r="14" ht="17" spans="1:17">
      <c r="A14" s="4" t="s">
        <v>73</v>
      </c>
      <c r="C14" t="s">
        <v>62</v>
      </c>
      <c r="D14" s="9" t="s">
        <v>63</v>
      </c>
      <c r="E14" t="s">
        <v>64</v>
      </c>
      <c r="F14" t="s">
        <v>65</v>
      </c>
      <c r="G14" t="s">
        <v>66</v>
      </c>
      <c r="H14" s="9" t="s">
        <v>63</v>
      </c>
      <c r="I14" t="s">
        <v>64</v>
      </c>
      <c r="J14" s="9" t="s">
        <v>67</v>
      </c>
      <c r="K14" t="s">
        <v>65</v>
      </c>
      <c r="L14" s="9" t="s">
        <v>68</v>
      </c>
      <c r="M14" t="s">
        <v>66</v>
      </c>
      <c r="N14" s="9" t="s">
        <v>63</v>
      </c>
      <c r="O14">
        <f>I15</f>
        <v>16</v>
      </c>
      <c r="P14">
        <f>-K15</f>
        <v>-10</v>
      </c>
      <c r="Q14">
        <f>M15</f>
        <v>18</v>
      </c>
    </row>
    <row r="15" spans="1:17">
      <c r="E15">
        <f t="shared" ref="E15:G15" si="2">E11</f>
        <v>4</v>
      </c>
      <c r="F15">
        <f t="shared" si="2"/>
        <v>1</v>
      </c>
      <c r="G15">
        <f t="shared" si="2"/>
        <v>-3</v>
      </c>
      <c r="I15">
        <f>F15*G16-F16*G15</f>
        <v>16</v>
      </c>
      <c r="K15">
        <f>E15*G16-E16*G15</f>
        <v>10</v>
      </c>
      <c r="M15">
        <f>E15*F16-E16*F15</f>
        <v>18</v>
      </c>
    </row>
    <row r="16" ht="17" spans="1:17">
      <c r="A16" s="3" t="s">
        <v>74</v>
      </c>
      <c r="E16">
        <f t="shared" ref="E16:G16" si="3">E12</f>
        <v>2</v>
      </c>
      <c r="F16">
        <f t="shared" si="3"/>
        <v>5</v>
      </c>
      <c r="G16">
        <f t="shared" si="3"/>
        <v>1</v>
      </c>
    </row>
    <row r="18" ht="51" spans="1:17">
      <c r="A18" s="3" t="s">
        <v>75</v>
      </c>
      <c r="C18" t="s">
        <v>76</v>
      </c>
      <c r="D18"/>
      <c r="E18" cm="1">
        <f t="array" ref="E18">SUMPRODUCT(E11:G11,O14:Q14)</f>
        <v>0</v>
      </c>
    </row>
    <row r="19" spans="1:17">
      <c r="C19" t="s">
        <v>77</v>
      </c>
      <c r="E19" cm="1">
        <f t="array" ref="E19">SUMPRODUCT(E12:G12,O14:Q14)</f>
        <v>0</v>
      </c>
    </row>
    <row r="22" ht="24.75" spans="1:17">
      <c r="A22" s="2" t="s">
        <v>78</v>
      </c>
    </row>
    <row r="23" spans="1:17">
      <c r="C23" t="s">
        <v>79</v>
      </c>
      <c r="E23">
        <v>3</v>
      </c>
      <c r="F23">
        <v>5</v>
      </c>
      <c r="G23">
        <v>-1</v>
      </c>
    </row>
    <row r="24" ht="68" spans="1:17">
      <c r="A24" s="3" t="s">
        <v>80</v>
      </c>
      <c r="C24" t="s">
        <v>81</v>
      </c>
      <c r="E24">
        <v>4</v>
      </c>
      <c r="F24">
        <v>2</v>
      </c>
      <c r="G24">
        <v>6</v>
      </c>
    </row>
    <row r="25" ht="17" spans="1:17">
      <c r="A25" s="4" t="s">
        <v>82</v>
      </c>
      <c r="C25" t="s">
        <v>83</v>
      </c>
      <c r="E25">
        <v>1</v>
      </c>
      <c r="F25">
        <v>-2</v>
      </c>
      <c r="G25">
        <v>4</v>
      </c>
    </row>
    <row r="26" ht="17" spans="1:17">
      <c r="A26" s="4" t="s">
        <v>84</v>
      </c>
      <c r="C26" t="s">
        <v>85</v>
      </c>
      <c r="D26" s="9" t="s">
        <v>63</v>
      </c>
      <c r="E26">
        <f t="shared" ref="E26:G26" si="4">E24-E23</f>
        <v>1</v>
      </c>
      <c r="F26">
        <f t="shared" si="4"/>
        <v>-3</v>
      </c>
      <c r="G26">
        <f t="shared" si="4"/>
        <v>7</v>
      </c>
    </row>
    <row r="27" ht="17" spans="1:17">
      <c r="A27" s="3" t="s">
        <v>86</v>
      </c>
      <c r="C27" t="s">
        <v>87</v>
      </c>
      <c r="E27">
        <f t="shared" ref="E27:G27" si="5">E25-E23</f>
        <v>-2</v>
      </c>
      <c r="F27">
        <f t="shared" si="5"/>
        <v>-7</v>
      </c>
      <c r="G27">
        <f t="shared" si="5"/>
        <v>5</v>
      </c>
    </row>
    <row r="29" ht="51" spans="1:17">
      <c r="A29" s="3" t="s">
        <v>88</v>
      </c>
      <c r="C29" t="s">
        <v>89</v>
      </c>
      <c r="D29" s="9" t="s">
        <v>63</v>
      </c>
      <c r="E29" t="s">
        <v>64</v>
      </c>
      <c r="F29" t="s">
        <v>65</v>
      </c>
      <c r="G29" t="s">
        <v>66</v>
      </c>
      <c r="H29" s="9" t="s">
        <v>63</v>
      </c>
      <c r="I29" t="s">
        <v>64</v>
      </c>
      <c r="J29" s="9" t="s">
        <v>67</v>
      </c>
      <c r="K29" t="s">
        <v>65</v>
      </c>
      <c r="L29" s="9" t="s">
        <v>68</v>
      </c>
      <c r="M29" t="s">
        <v>66</v>
      </c>
      <c r="N29" s="9" t="s">
        <v>63</v>
      </c>
      <c r="O29">
        <f>I30</f>
        <v>34</v>
      </c>
      <c r="P29">
        <f>-K30</f>
        <v>-19</v>
      </c>
      <c r="Q29">
        <f>M30</f>
        <v>-13</v>
      </c>
    </row>
    <row r="30" spans="1:17">
      <c r="E30">
        <f t="shared" ref="E30:G30" si="6">E26</f>
        <v>1</v>
      </c>
      <c r="F30">
        <f t="shared" si="6"/>
        <v>-3</v>
      </c>
      <c r="G30">
        <f t="shared" si="6"/>
        <v>7</v>
      </c>
      <c r="I30">
        <f>F30*G31-F31*G30</f>
        <v>34</v>
      </c>
      <c r="K30">
        <f>E30*G31-E31*G30</f>
        <v>19</v>
      </c>
      <c r="M30">
        <f>E30*F31-E31*F30</f>
        <v>-13</v>
      </c>
    </row>
    <row r="31" spans="1:17">
      <c r="E31">
        <f t="shared" ref="E31:G31" si="7">E27</f>
        <v>-2</v>
      </c>
      <c r="F31">
        <f t="shared" si="7"/>
        <v>-7</v>
      </c>
      <c r="G31">
        <f t="shared" si="7"/>
        <v>5</v>
      </c>
    </row>
    <row r="33" ht="24.75" spans="1:17">
      <c r="A33" s="2" t="s">
        <v>90</v>
      </c>
    </row>
    <row r="34" spans="1:17">
      <c r="C34" t="s">
        <v>91</v>
      </c>
      <c r="E34">
        <v>1</v>
      </c>
      <c r="F34">
        <v>2</v>
      </c>
      <c r="G34">
        <v>3</v>
      </c>
    </row>
    <row r="35" ht="17" spans="1:17">
      <c r="A35" s="3" t="s">
        <v>92</v>
      </c>
      <c r="C35" t="s">
        <v>93</v>
      </c>
      <c r="E35">
        <v>-1</v>
      </c>
      <c r="F35">
        <v>2</v>
      </c>
      <c r="G35">
        <v>6</v>
      </c>
    </row>
    <row r="36" ht="17" spans="1:17">
      <c r="A36" s="3" t="s">
        <v>94</v>
      </c>
      <c r="C36" t="s">
        <v>95</v>
      </c>
      <c r="E36">
        <v>-2</v>
      </c>
      <c r="F36">
        <v>3</v>
      </c>
      <c r="G36">
        <v>1</v>
      </c>
    </row>
    <row r="37" ht="17" spans="1:17">
      <c r="A37" s="3" t="s">
        <v>96</v>
      </c>
      <c r="C37" t="s">
        <v>97</v>
      </c>
      <c r="D37" s="9" t="s">
        <v>63</v>
      </c>
      <c r="E37">
        <f t="shared" ref="E37:G37" si="8">E35-E34</f>
        <v>-2</v>
      </c>
      <c r="F37">
        <f t="shared" si="8"/>
        <v>0</v>
      </c>
      <c r="G37">
        <f t="shared" si="8"/>
        <v>3</v>
      </c>
    </row>
    <row r="38" ht="17" spans="1:17">
      <c r="A38" s="3" t="s">
        <v>98</v>
      </c>
      <c r="C38" t="s">
        <v>99</v>
      </c>
      <c r="E38">
        <f t="shared" ref="E38:G38" si="9">E36-E35</f>
        <v>-1</v>
      </c>
      <c r="F38">
        <f t="shared" si="9"/>
        <v>1</v>
      </c>
      <c r="G38">
        <f t="shared" si="9"/>
        <v>-5</v>
      </c>
    </row>
    <row r="40" ht="34" spans="1:17">
      <c r="A40" s="3" t="s">
        <v>100</v>
      </c>
      <c r="C40" t="s">
        <v>89</v>
      </c>
      <c r="D40" s="9" t="s">
        <v>63</v>
      </c>
      <c r="E40" t="s">
        <v>64</v>
      </c>
      <c r="F40" t="s">
        <v>65</v>
      </c>
      <c r="G40" t="s">
        <v>66</v>
      </c>
      <c r="H40" s="9" t="s">
        <v>63</v>
      </c>
      <c r="I40" t="s">
        <v>64</v>
      </c>
      <c r="J40" s="9" t="s">
        <v>67</v>
      </c>
      <c r="K40" t="s">
        <v>65</v>
      </c>
      <c r="L40" s="9" t="s">
        <v>68</v>
      </c>
      <c r="M40" t="s">
        <v>66</v>
      </c>
      <c r="N40" s="9" t="s">
        <v>63</v>
      </c>
      <c r="O40">
        <f>I41</f>
        <v>-3</v>
      </c>
      <c r="P40">
        <f>-K41</f>
        <v>-13</v>
      </c>
      <c r="Q40">
        <f>M41</f>
        <v>-2</v>
      </c>
    </row>
    <row r="41" spans="1:17">
      <c r="E41">
        <f t="shared" ref="E41:G41" si="10">E37</f>
        <v>-2</v>
      </c>
      <c r="F41">
        <f t="shared" si="10"/>
        <v>0</v>
      </c>
      <c r="G41">
        <f t="shared" si="10"/>
        <v>3</v>
      </c>
      <c r="I41">
        <f>F41*G42-F42*G41</f>
        <v>-3</v>
      </c>
      <c r="K41">
        <f>E41*G42-E42*G41</f>
        <v>13</v>
      </c>
      <c r="M41">
        <f>E41*F42-E42*F41</f>
        <v>-2</v>
      </c>
    </row>
    <row r="42" spans="1:17">
      <c r="E42">
        <f t="shared" ref="E42:G42" si="11">E38</f>
        <v>-1</v>
      </c>
      <c r="F42">
        <f t="shared" si="11"/>
        <v>1</v>
      </c>
      <c r="G42">
        <f t="shared" si="11"/>
        <v>-5</v>
      </c>
    </row>
    <row r="44" spans="1:17">
      <c r="C44" t="s">
        <v>101</v>
      </c>
      <c r="E44">
        <f>SQRT(O40^2+P40^2+Q40^2)</f>
        <v>13.490737563232</v>
      </c>
      <c r="F44">
        <f>O40^2+P40^2+Q40^2</f>
        <v>182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topLeftCell="A12" workbookViewId="0">
      <selection activeCell="D17" sqref="D17"/>
    </sheetView>
  </sheetViews>
  <sheetFormatPr defaultColWidth="9" defaultRowHeight="16.8"/>
  <cols>
    <col min="1" max="1" width="44.921875" style="1" customWidth="1"/>
  </cols>
  <sheetData>
    <row r="1" ht="24.75" spans="1:8">
      <c r="A1" s="2" t="s">
        <v>56</v>
      </c>
    </row>
    <row r="2" spans="1:8">
      <c r="C2" t="s">
        <v>11</v>
      </c>
      <c r="D2">
        <v>2</v>
      </c>
      <c r="E2">
        <v>3</v>
      </c>
    </row>
    <row r="3" ht="34" spans="1:8">
      <c r="A3" s="3" t="s">
        <v>102</v>
      </c>
      <c r="C3" t="s">
        <v>6</v>
      </c>
      <c r="D3">
        <v>4</v>
      </c>
      <c r="E3">
        <v>6</v>
      </c>
    </row>
    <row r="4" ht="17" spans="1:8">
      <c r="A4" s="4" t="s">
        <v>103</v>
      </c>
    </row>
    <row r="5" ht="17" spans="1:8">
      <c r="A5" s="4" t="s">
        <v>104</v>
      </c>
      <c r="C5" t="s">
        <v>105</v>
      </c>
      <c r="E5" t="s">
        <v>106</v>
      </c>
      <c r="F5">
        <f>D3/D2</f>
        <v>2</v>
      </c>
      <c r="G5">
        <f>E3/E2</f>
        <v>2</v>
      </c>
      <c r="H5" t="b">
        <f>G5=F5</f>
        <v>1</v>
      </c>
    </row>
    <row r="6" spans="1:8">
      <c r="H6" t="str">
        <f>IF(H5,"Yes","No")</f>
        <v>Yes</v>
      </c>
    </row>
    <row r="7" ht="34" spans="1:8">
      <c r="A7" s="3" t="s">
        <v>107</v>
      </c>
    </row>
    <row r="10" ht="24.75" spans="1:8">
      <c r="A10" s="2" t="s">
        <v>70</v>
      </c>
    </row>
    <row r="11" spans="1:8">
      <c r="C11" t="s">
        <v>57</v>
      </c>
      <c r="D11">
        <v>1</v>
      </c>
      <c r="E11">
        <v>2</v>
      </c>
      <c r="F11">
        <v>3</v>
      </c>
    </row>
    <row r="12" ht="34" spans="1:8">
      <c r="A12" s="3" t="s">
        <v>108</v>
      </c>
      <c r="C12" t="s">
        <v>59</v>
      </c>
      <c r="D12">
        <v>2</v>
      </c>
      <c r="E12">
        <v>4</v>
      </c>
      <c r="F12">
        <v>6</v>
      </c>
    </row>
    <row r="13" spans="1:8">
      <c r="C13" t="s">
        <v>109</v>
      </c>
      <c r="D13">
        <v>3</v>
      </c>
      <c r="E13">
        <v>6</v>
      </c>
      <c r="F13">
        <v>9</v>
      </c>
    </row>
    <row r="16" spans="1:8">
      <c r="B16" t="s">
        <v>110</v>
      </c>
      <c r="D16">
        <f>D11*(E12*F13-F12*E13)-E11*(D12*F13-F12*D13)+F11*(D12*E13-E12*D13)</f>
        <v>0</v>
      </c>
      <c r="E16" t="str">
        <f>IF(D16=0,"Yes","No")</f>
        <v>Yes</v>
      </c>
    </row>
    <row r="17" spans="1:16">
      <c r="B17" t="s">
        <v>111</v>
      </c>
    </row>
    <row r="18" spans="1:16">
      <c r="B18" t="s">
        <v>112</v>
      </c>
      <c r="C18" t="s">
        <v>113</v>
      </c>
      <c r="D18" t="s">
        <v>64</v>
      </c>
      <c r="E18" t="s">
        <v>65</v>
      </c>
      <c r="F18" t="s">
        <v>66</v>
      </c>
      <c r="G18" s="9" t="s">
        <v>63</v>
      </c>
      <c r="H18" t="s">
        <v>64</v>
      </c>
      <c r="I18" s="9" t="s">
        <v>67</v>
      </c>
      <c r="J18" t="s">
        <v>65</v>
      </c>
      <c r="K18" s="9" t="s">
        <v>68</v>
      </c>
      <c r="L18" t="s">
        <v>66</v>
      </c>
      <c r="M18" s="9" t="s">
        <v>63</v>
      </c>
      <c r="N18">
        <f>H19</f>
        <v>0</v>
      </c>
      <c r="O18">
        <f>-J19</f>
        <v>0</v>
      </c>
      <c r="P18">
        <f>L19</f>
        <v>0</v>
      </c>
    </row>
    <row r="19" spans="1:16">
      <c r="D19">
        <f t="shared" ref="D19:F19" si="0">D12</f>
        <v>2</v>
      </c>
      <c r="E19">
        <f t="shared" si="0"/>
        <v>4</v>
      </c>
      <c r="F19">
        <f t="shared" si="0"/>
        <v>6</v>
      </c>
      <c r="H19">
        <f>E19*F20-E20*F19</f>
        <v>0</v>
      </c>
      <c r="J19">
        <f>D19*F20-D20*F19</f>
        <v>0</v>
      </c>
      <c r="L19">
        <f>D19*E20-D20*E19</f>
        <v>0</v>
      </c>
    </row>
    <row r="20" spans="1:16">
      <c r="D20">
        <f t="shared" ref="D20:F20" si="1">D13</f>
        <v>3</v>
      </c>
      <c r="E20">
        <f t="shared" si="1"/>
        <v>6</v>
      </c>
      <c r="F20">
        <f t="shared" si="1"/>
        <v>9</v>
      </c>
    </row>
    <row r="22" spans="1:16">
      <c r="C22" t="s">
        <v>112</v>
      </c>
      <c r="D22" cm="1">
        <f t="array" ref="D22">SUMPRODUCT(D11:F11,N18:P18)</f>
        <v>0</v>
      </c>
      <c r="E22" t="str">
        <f>IF(D22=0,"Yes","No")</f>
        <v>Yes</v>
      </c>
    </row>
    <row r="26" ht="24.75" spans="1:16">
      <c r="A26" s="2" t="s">
        <v>78</v>
      </c>
    </row>
    <row r="27" spans="1:16">
      <c r="A27" s="5"/>
      <c r="C27" t="s">
        <v>57</v>
      </c>
      <c r="D27">
        <v>2</v>
      </c>
      <c r="E27">
        <v>3</v>
      </c>
      <c r="F27">
        <v>-1</v>
      </c>
    </row>
    <row r="28" ht="34" spans="1:16">
      <c r="A28" s="3" t="s">
        <v>114</v>
      </c>
      <c r="C28" t="s">
        <v>59</v>
      </c>
      <c r="D28">
        <v>4</v>
      </c>
      <c r="E28">
        <v>6</v>
      </c>
      <c r="F28">
        <v>-2</v>
      </c>
    </row>
    <row r="29" spans="1:16">
      <c r="C29" t="s">
        <v>109</v>
      </c>
      <c r="D29">
        <v>0</v>
      </c>
      <c r="E29">
        <v>2</v>
      </c>
      <c r="F29">
        <v>1</v>
      </c>
    </row>
    <row r="32" spans="1:16">
      <c r="B32" t="s">
        <v>110</v>
      </c>
      <c r="D32">
        <f>D27*(E28*F29-F28*E29)-E27*(D28*F29-F28*D29)+F27*(D28*E29-E28*D29)</f>
        <v>0</v>
      </c>
      <c r="E32" t="str">
        <f>IF(D32=0,"Yes","No")</f>
        <v>Yes</v>
      </c>
    </row>
    <row r="33" spans="2:16">
      <c r="B33" t="s">
        <v>111</v>
      </c>
    </row>
    <row r="34" spans="2:16">
      <c r="B34" t="s">
        <v>112</v>
      </c>
      <c r="C34" t="s">
        <v>113</v>
      </c>
      <c r="D34" t="s">
        <v>64</v>
      </c>
      <c r="E34" t="s">
        <v>65</v>
      </c>
      <c r="F34" t="s">
        <v>66</v>
      </c>
      <c r="G34" s="9" t="s">
        <v>63</v>
      </c>
      <c r="H34" t="s">
        <v>64</v>
      </c>
      <c r="I34" s="9" t="s">
        <v>67</v>
      </c>
      <c r="J34" t="s">
        <v>65</v>
      </c>
      <c r="K34" s="9" t="s">
        <v>68</v>
      </c>
      <c r="L34" t="s">
        <v>66</v>
      </c>
      <c r="M34" s="9" t="s">
        <v>63</v>
      </c>
      <c r="N34">
        <f>H35</f>
        <v>10</v>
      </c>
      <c r="O34">
        <f>-J35</f>
        <v>-4</v>
      </c>
      <c r="P34">
        <f>L35</f>
        <v>8</v>
      </c>
    </row>
    <row r="35" spans="2:16">
      <c r="D35">
        <f t="shared" ref="D35:F35" si="2">D28</f>
        <v>4</v>
      </c>
      <c r="E35">
        <f t="shared" si="2"/>
        <v>6</v>
      </c>
      <c r="F35">
        <f t="shared" si="2"/>
        <v>-2</v>
      </c>
      <c r="H35">
        <f>E35*F36-E36*F35</f>
        <v>10</v>
      </c>
      <c r="J35">
        <f>D35*F36-D36*F35</f>
        <v>4</v>
      </c>
      <c r="L35">
        <f>D35*E36-D36*E35</f>
        <v>8</v>
      </c>
    </row>
    <row r="36" spans="2:16">
      <c r="D36">
        <f t="shared" ref="D36:F36" si="3">D29</f>
        <v>0</v>
      </c>
      <c r="E36">
        <f t="shared" si="3"/>
        <v>2</v>
      </c>
      <c r="F36">
        <f t="shared" si="3"/>
        <v>1</v>
      </c>
    </row>
    <row r="38" spans="2:16">
      <c r="C38" t="s">
        <v>112</v>
      </c>
      <c r="D38" cm="1">
        <f t="array" ref="D38">SUMPRODUCT(D27:F27,N34:P34)</f>
        <v>0</v>
      </c>
      <c r="E38" t="str">
        <f>IF(D38=0,"Yes","No")</f>
        <v>Yes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kvedmetsky</dc:creator>
  <cp:lastModifiedBy>Kirill Vedmetskiy</cp:lastModifiedBy>
  <dcterms:created xsi:type="dcterms:W3CDTF">2026-06-22T11:21:46Z</dcterms:created>
  <dcterms:modified xsi:type="dcterms:W3CDTF">2026-06-22T13:11:47Z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F6873D7937E7A5AB9AF0386AB000CC22_41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